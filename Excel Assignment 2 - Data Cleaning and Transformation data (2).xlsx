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<sst xmlns="http://schemas.openxmlformats.org/spreadsheetml/2006/main" count="163" uniqueCount="84">
  <si>
    <t>MANUFACTURING DATE</t>
  </si>
  <si>
    <t>FORMATTING DATE</t>
  </si>
  <si>
    <t>COUNTRY CODE</t>
  </si>
  <si>
    <t>Product Name</t>
  </si>
  <si>
    <t>Brand Name</t>
  </si>
  <si>
    <t>PRODUCT BRAND</t>
  </si>
  <si>
    <t>Price ($)</t>
  </si>
  <si>
    <t>DATA BAR FOR PRICE</t>
  </si>
  <si>
    <t>COLOUR SCALES FOR PRICE</t>
  </si>
  <si>
    <t>FORMATTING IN CURRENCY</t>
  </si>
  <si>
    <t>IS BLANK</t>
  </si>
  <si>
    <t>Quantity</t>
  </si>
  <si>
    <t>Category</t>
  </si>
  <si>
    <t>CATEGORY COLUMN</t>
  </si>
  <si>
    <t>category(startegy)</t>
  </si>
  <si>
    <t>US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</si>
  <si>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</si>
  <si>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</si>
  <si>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</si>
  <si>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</si>
  <si>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</si>
  <si>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</si>
  <si>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</si>
  <si>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</si>
  <si>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</si>
  <si>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</si>
  <si>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</si>
  <si>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</si>
  <si>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</si>
  <si>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UK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</si>
  <si>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</si>
  <si>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</si>
  <si>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</si>
  <si>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</si>
  <si>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</si>
  <si>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</si>
  <si>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</si>
  <si>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</si>
  <si>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PRICE COLUMN MISSING VALUE</t>
  </si>
  <si>
    <t>Hiking Boots</t>
  </si>
  <si>
    <t>Timberland</t>
  </si>
  <si>
    <t>Outdoor</t>
  </si>
  <si>
    <t>IN</t>
  </si>
  <si>
    <t>HP</t>
  </si>
  <si>
    <t>AU</t>
  </si>
  <si>
    <t>DE</t>
  </si>
  <si>
    <t>Nespresso</t>
  </si>
  <si>
    <t>CA</t>
  </si>
  <si>
    <t>Smartwatch</t>
  </si>
  <si>
    <t>Fitbit</t>
  </si>
  <si>
    <t>ES</t>
  </si>
  <si>
    <t>Bose</t>
  </si>
  <si>
    <t>Laptop Bag</t>
  </si>
  <si>
    <t>Samsonite</t>
  </si>
  <si>
    <t>Accessories</t>
  </si>
  <si>
    <t>CN</t>
  </si>
  <si>
    <t>Huawei</t>
  </si>
  <si>
    <t>IT</t>
  </si>
  <si>
    <t>Asus</t>
  </si>
  <si>
    <t>Sunglasses</t>
  </si>
  <si>
    <t>Oakley</t>
  </si>
  <si>
    <t>Camping Tent</t>
  </si>
  <si>
    <t>Coleman</t>
  </si>
  <si>
    <t>RU</t>
  </si>
  <si>
    <t>Camera</t>
  </si>
  <si>
    <t>Nikon</t>
  </si>
  <si>
    <t>Microwave</t>
  </si>
  <si>
    <t>Panasonic</t>
  </si>
  <si>
    <t>BR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</si>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</sst>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"/>
  </numFmts>
  <fonts count="27">
    <font>
      <sz val="10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Times New Roman"/>
      <charset val="134"/>
    </font>
    <font>
      <u/>
      <sz val="14"/>
      <color rgb="FF000000"/>
      <name val="Times New Roman"/>
      <charset val="134"/>
    </font>
    <font>
      <b/>
      <sz val="14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180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4" fillId="0" borderId="2" xfId="0" applyFont="1" applyBorder="1" applyAlignment="1"/>
    <xf numFmtId="0" fontId="6" fillId="0" borderId="3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6" fillId="0" borderId="5" xfId="0" applyFont="1" applyBorder="1" applyAlignment="1"/>
    <xf numFmtId="0" fontId="6" fillId="0" borderId="0" xfId="0" applyFont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180" fontId="3" fillId="0" borderId="1" xfId="0" applyNumberFormat="1" applyFont="1" applyFill="1" applyBorder="1" applyAlignment="1">
      <alignment horizontal="center" vertical="center" wrapText="1"/>
    </xf>
    <xf numFmtId="18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2" formatCode="&quot;₹&quot;#,##0;&quot;₹&quot;\-#,##0"/>
    </dxf>
    <dxf>
      <fill>
        <patternFill patternType="solid">
          <bgColor rgb="FF00B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35"/>
  <sheetViews>
    <sheetView tabSelected="1" zoomScale="83" zoomScaleNormal="83" workbookViewId="0">
      <selection activeCell="P5" sqref="P5"/>
    </sheetView>
  </sheetViews>
  <sheetFormatPr defaultColWidth="12.6285714285714" defaultRowHeight="24" customHeight="1"/>
  <cols>
    <col min="1" max="1" width="17.5428571428571" style="1" customWidth="1"/>
    <col min="2" max="2" width="21.5047619047619" style="1" customWidth="1"/>
    <col min="3" max="3" width="17.8857142857143" style="2" customWidth="1"/>
    <col min="4" max="4" width="19.2666666666667" style="2" customWidth="1"/>
    <col min="5" max="5" width="26.6761904761905" style="2" customWidth="1"/>
    <col min="6" max="6" width="31.152380952381" style="2" customWidth="1"/>
    <col min="7" max="7" width="16" style="2" customWidth="1"/>
    <col min="8" max="9" width="31.3142857142857" style="2" customWidth="1"/>
    <col min="10" max="10" width="22.3714285714286" style="2" customWidth="1"/>
    <col min="11" max="14" width="16" style="2" customWidth="1"/>
    <col min="15" max="15" width="21.6857142857143" style="3" customWidth="1"/>
    <col min="16" max="16384" width="12.6285714285714" style="3"/>
  </cols>
  <sheetData>
    <row r="1" ht="37" customHeight="1" spans="1:2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6" t="s">
        <v>14</v>
      </c>
    </row>
    <row r="2" customHeight="1" spans="1:23">
      <c r="A2" s="7">
        <v>46050</v>
      </c>
      <c r="B2" s="8">
        <v>46050</v>
      </c>
      <c r="C2" s="9" t="s">
        <v>15</v>
      </c>
      <c r="D2" s="9" t="s">
        <v>16</v>
      </c>
      <c r="E2" s="9" t="s">
        <v>17</v>
      </c>
      <c r="F2" s="9" t="str">
        <f>CONCATENATE(D2," ",E2)</f>
        <v>Laptop Dell</v>
      </c>
      <c r="G2" s="9">
        <v>1000</v>
      </c>
      <c r="H2" s="9">
        <v>1000</v>
      </c>
      <c r="I2" s="9">
        <v>1000</v>
      </c>
      <c r="J2" s="9">
        <v>1000</v>
      </c>
      <c r="K2" s="9" t="b">
        <f>ISBLANK(G2)</f>
        <v>0</v>
      </c>
      <c r="L2" s="9">
        <v>30</v>
      </c>
      <c r="M2" s="9" t="s">
        <v>18</v>
      </c>
      <c r="N2" s="9" t="s">
        <v>18</v>
      </c>
      <c r="O2" s="6" t="str">
        <f>IF(ISBLANK(M2),"Unknown",M2)</f>
        <v>Electronics</v>
      </c>
    </row>
    <row r="3" customHeight="1" spans="1:23">
      <c r="A3" s="10">
        <v>46068</v>
      </c>
      <c r="B3" s="11">
        <v>46068</v>
      </c>
      <c r="C3" s="12" t="s">
        <v>15</v>
      </c>
      <c r="D3" s="12" t="s">
        <v>19</v>
      </c>
      <c r="E3" s="12" t="s">
        <v>20</v>
      </c>
      <c r="F3" s="9" t="str">
        <f t="shared" ref="F3:F32" si="0">CONCATENATE(D3," ",E3)</f>
        <v>Sneakers Nike</v>
      </c>
      <c r="G3" s="12">
        <v>80</v>
      </c>
      <c r="H3" s="12">
        <v>80</v>
      </c>
      <c r="I3" s="12">
        <v>80</v>
      </c>
      <c r="J3" s="12">
        <v>80</v>
      </c>
      <c r="K3" s="9" t="b">
        <f t="shared" ref="K3:K32" si="1">ISBLANK(G3)</f>
        <v>0</v>
      </c>
      <c r="L3" s="12">
        <v>15</v>
      </c>
      <c r="M3" s="12" t="s">
        <v>21</v>
      </c>
      <c r="N3" s="12" t="s">
        <v>21</v>
      </c>
      <c r="O3" s="6" t="str">
        <f t="shared" ref="O3:O32" si="2">IF(ISBLANK(M3),"Unknown",M3)</f>
        <v>Fashion</v>
      </c>
      <c r="P3" s="13"/>
      <c r="Q3" s="14"/>
      <c r="R3" s="14"/>
      <c r="S3" s="14"/>
      <c r="T3" s="14"/>
      <c r="U3" s="14"/>
      <c r="V3" s="14"/>
      <c r="W3" s="14"/>
    </row>
    <row r="4" customHeight="1" spans="1:23">
      <c r="A4" s="7">
        <v>46084</v>
      </c>
      <c r="B4" s="8">
        <v>46084</v>
      </c>
      <c r="C4" s="9" t="s">
        <v>15</v>
      </c>
      <c r="D4" s="9" t="s">
        <v>22</v>
      </c>
      <c r="E4" s="9" t="s">
        <v>23</v>
      </c>
      <c r="F4" s="9" t="str">
        <f t="shared" si="0"/>
        <v>Coffee Maker Keurig</v>
      </c>
      <c r="G4" s="9">
        <v>130</v>
      </c>
      <c r="H4" s="9">
        <v>130</v>
      </c>
      <c r="I4" s="9">
        <v>130</v>
      </c>
      <c r="J4" s="9">
        <v>130</v>
      </c>
      <c r="K4" s="9" t="b">
        <f t="shared" si="1"/>
        <v>0</v>
      </c>
      <c r="L4" s="9">
        <v>40</v>
      </c>
      <c r="M4" s="9" t="s">
        <v>24</v>
      </c>
      <c r="N4" s="9" t="s">
        <v>24</v>
      </c>
      <c r="O4" s="6" t="str">
        <f t="shared" si="2"/>
        <v>Kitchen</v>
      </c>
      <c r="P4" s="14"/>
      <c r="Q4" s="15"/>
      <c r="R4" s="14"/>
      <c r="S4" s="14"/>
      <c r="T4" s="14"/>
      <c r="U4" s="14"/>
      <c r="V4" s="14"/>
      <c r="W4" s="14"/>
    </row>
    <row r="5" customHeight="1" spans="1:23">
      <c r="A5" s="10">
        <v>46123</v>
      </c>
      <c r="B5" s="11">
        <v>46123</v>
      </c>
      <c r="C5" s="12" t="s">
        <v>15</v>
      </c>
      <c r="D5" s="12" t="s">
        <v>25</v>
      </c>
      <c r="E5" s="12" t="s">
        <v>26</v>
      </c>
      <c r="F5" s="9" t="str">
        <f t="shared" si="0"/>
        <v>Smartphone Samsung</v>
      </c>
      <c r="G5" s="12">
        <v>900</v>
      </c>
      <c r="H5" s="12">
        <v>900</v>
      </c>
      <c r="I5" s="12">
        <v>900</v>
      </c>
      <c r="J5" s="12">
        <v>900</v>
      </c>
      <c r="K5" s="9" t="b">
        <f t="shared" si="1"/>
        <v>0</v>
      </c>
      <c r="L5" s="12">
        <v>25</v>
      </c>
      <c r="M5" s="12" t="s">
        <v>18</v>
      </c>
      <c r="N5" s="12" t="s">
        <v>18</v>
      </c>
      <c r="O5" s="6" t="str">
        <f t="shared" si="2"/>
        <v>Electronics</v>
      </c>
      <c r="T5" s="14"/>
      <c r="U5" s="14"/>
      <c r="V5" s="14"/>
      <c r="W5" s="14"/>
    </row>
    <row r="6" customHeight="1" spans="1:23">
      <c r="A6" s="7">
        <v>46164</v>
      </c>
      <c r="B6" s="8">
        <v>46164</v>
      </c>
      <c r="C6" s="9" t="s">
        <v>15</v>
      </c>
      <c r="D6" s="9" t="s">
        <v>27</v>
      </c>
      <c r="E6" s="9" t="s">
        <v>28</v>
      </c>
      <c r="F6" s="9" t="str">
        <f t="shared" si="0"/>
        <v>Backpack North Face</v>
      </c>
      <c r="G6" s="9">
        <v>70</v>
      </c>
      <c r="H6" s="9">
        <v>70</v>
      </c>
      <c r="I6" s="9">
        <v>70</v>
      </c>
      <c r="J6" s="9">
        <v>70</v>
      </c>
      <c r="K6" s="9" t="b">
        <f t="shared" si="1"/>
        <v>0</v>
      </c>
      <c r="L6" s="9">
        <v>20</v>
      </c>
      <c r="M6" s="9"/>
      <c r="N6" s="9"/>
      <c r="O6" s="6" t="str">
        <f t="shared" si="2"/>
        <v>Unknown</v>
      </c>
    </row>
    <row r="7" customHeight="1" spans="1:23">
      <c r="A7" s="10">
        <v>46180</v>
      </c>
      <c r="B7" s="11">
        <v>46180</v>
      </c>
      <c r="C7" s="12" t="s">
        <v>29</v>
      </c>
      <c r="D7" s="12" t="s">
        <v>30</v>
      </c>
      <c r="E7" s="12" t="s">
        <v>31</v>
      </c>
      <c r="F7" s="9" t="str">
        <f t="shared" si="0"/>
        <v>Headphones Sony</v>
      </c>
      <c r="G7" s="12"/>
      <c r="H7" s="12"/>
      <c r="I7" s="12"/>
      <c r="J7" s="12"/>
      <c r="K7" s="9" t="b">
        <f t="shared" si="1"/>
        <v>1</v>
      </c>
      <c r="L7" s="12">
        <v>45</v>
      </c>
      <c r="M7" s="12" t="s">
        <v>18</v>
      </c>
      <c r="N7" s="12" t="s">
        <v>18</v>
      </c>
      <c r="O7" s="6" t="str">
        <f t="shared" si="2"/>
        <v>Electronics</v>
      </c>
    </row>
    <row r="8" customHeight="1" spans="1:23">
      <c r="A8" s="7">
        <v>46222</v>
      </c>
      <c r="B8" s="8">
        <v>46222</v>
      </c>
      <c r="C8" s="9" t="s">
        <v>29</v>
      </c>
      <c r="D8" s="9" t="s">
        <v>32</v>
      </c>
      <c r="E8" s="9" t="s">
        <v>33</v>
      </c>
      <c r="F8" s="9" t="str">
        <f t="shared" si="0"/>
        <v>T-shirt Adidas</v>
      </c>
      <c r="G8" s="9">
        <v>30</v>
      </c>
      <c r="H8" s="9">
        <v>30</v>
      </c>
      <c r="I8" s="9">
        <v>30</v>
      </c>
      <c r="J8" s="9">
        <v>30</v>
      </c>
      <c r="K8" s="9" t="b">
        <f t="shared" si="1"/>
        <v>0</v>
      </c>
      <c r="L8" s="9">
        <v>5</v>
      </c>
      <c r="M8" s="9" t="s">
        <v>21</v>
      </c>
      <c r="N8" s="9" t="s">
        <v>21</v>
      </c>
      <c r="O8" s="6" t="str">
        <f t="shared" si="2"/>
        <v>Fashion</v>
      </c>
    </row>
    <row r="9" customHeight="1" spans="1:23">
      <c r="A9" s="10">
        <v>46257</v>
      </c>
      <c r="B9" s="11">
        <v>46257</v>
      </c>
      <c r="C9" s="12" t="s">
        <v>29</v>
      </c>
      <c r="D9" s="12" t="s">
        <v>34</v>
      </c>
      <c r="E9" s="12" t="s">
        <v>35</v>
      </c>
      <c r="F9" s="9" t="str">
        <f t="shared" si="0"/>
        <v>Blender Ninja</v>
      </c>
      <c r="G9" s="12">
        <v>90</v>
      </c>
      <c r="H9" s="12">
        <v>90</v>
      </c>
      <c r="I9" s="12">
        <v>90</v>
      </c>
      <c r="J9" s="12">
        <v>90</v>
      </c>
      <c r="K9" s="9" t="b">
        <f t="shared" si="1"/>
        <v>0</v>
      </c>
      <c r="L9" s="12">
        <v>35</v>
      </c>
      <c r="M9" s="12" t="s">
        <v>24</v>
      </c>
      <c r="N9" s="12" t="s">
        <v>24</v>
      </c>
      <c r="O9" s="6" t="str">
        <f t="shared" si="2"/>
        <v>Kitchen</v>
      </c>
    </row>
    <row r="10" customHeight="1" spans="1:23">
      <c r="A10" s="7">
        <v>46270</v>
      </c>
      <c r="B10" s="8">
        <v>46270</v>
      </c>
      <c r="C10" s="9" t="s">
        <v>29</v>
      </c>
      <c r="D10" s="9" t="s">
        <v>36</v>
      </c>
      <c r="E10" s="9" t="s">
        <v>37</v>
      </c>
      <c r="F10" s="9" t="str">
        <f t="shared" si="0"/>
        <v>Tablet Apple</v>
      </c>
      <c r="G10" s="9">
        <v>500</v>
      </c>
      <c r="H10" s="9">
        <v>500</v>
      </c>
      <c r="I10" s="9">
        <v>500</v>
      </c>
      <c r="J10" s="9">
        <v>500</v>
      </c>
      <c r="K10" s="9" t="b">
        <f t="shared" si="1"/>
        <v>0</v>
      </c>
      <c r="L10" s="9">
        <v>50</v>
      </c>
      <c r="M10" s="9" t="s">
        <v>18</v>
      </c>
      <c r="N10" s="9" t="s">
        <v>18</v>
      </c>
      <c r="O10" s="6" t="str">
        <f t="shared" si="2"/>
        <v>Electronics</v>
      </c>
      <c r="Q10" s="16" t="s">
        <v>38</v>
      </c>
      <c r="R10" s="17"/>
      <c r="S10" s="18"/>
      <c r="T10" s="19"/>
    </row>
    <row r="11" customHeight="1" spans="1:23">
      <c r="A11" s="10">
        <v>46309</v>
      </c>
      <c r="B11" s="11">
        <v>46309</v>
      </c>
      <c r="C11" s="12" t="s">
        <v>29</v>
      </c>
      <c r="D11" s="12" t="s">
        <v>39</v>
      </c>
      <c r="E11" s="12" t="s">
        <v>40</v>
      </c>
      <c r="F11" s="9" t="str">
        <f t="shared" si="0"/>
        <v>Hiking Boots Timberland</v>
      </c>
      <c r="G11" s="12">
        <v>130</v>
      </c>
      <c r="H11" s="12">
        <v>130</v>
      </c>
      <c r="I11" s="12">
        <v>130</v>
      </c>
      <c r="J11" s="12">
        <v>130</v>
      </c>
      <c r="K11" s="9" t="b">
        <f t="shared" si="1"/>
        <v>0</v>
      </c>
      <c r="L11" s="12">
        <v>10</v>
      </c>
      <c r="M11" s="12" t="s">
        <v>41</v>
      </c>
      <c r="N11" s="12" t="s">
        <v>41</v>
      </c>
      <c r="O11" s="6" t="str">
        <f t="shared" si="2"/>
        <v>Outdoor</v>
      </c>
      <c r="Q11" s="20"/>
      <c r="R11" s="21"/>
      <c r="S11" s="21"/>
      <c r="T11" s="22"/>
    </row>
    <row r="12" customHeight="1" spans="1:23">
      <c r="A12" s="7">
        <v>46190</v>
      </c>
      <c r="B12" s="8">
        <v>46190</v>
      </c>
      <c r="C12" s="9" t="s">
        <v>42</v>
      </c>
      <c r="D12" s="9" t="s">
        <v>16</v>
      </c>
      <c r="E12" s="9" t="s">
        <v>43</v>
      </c>
      <c r="F12" s="9" t="str">
        <f t="shared" si="0"/>
        <v>Laptop HP</v>
      </c>
      <c r="G12" s="9">
        <v>950</v>
      </c>
      <c r="H12" s="9">
        <v>950</v>
      </c>
      <c r="I12" s="9">
        <v>950</v>
      </c>
      <c r="J12" s="9">
        <v>950</v>
      </c>
      <c r="K12" s="9" t="b">
        <f t="shared" si="1"/>
        <v>0</v>
      </c>
      <c r="L12" s="9">
        <v>25</v>
      </c>
      <c r="M12" s="9" t="s">
        <v>18</v>
      </c>
      <c r="N12" s="9" t="s">
        <v>18</v>
      </c>
      <c r="O12" s="6" t="str">
        <f t="shared" si="2"/>
        <v>Electronics</v>
      </c>
      <c r="Q12" s="23"/>
      <c r="R12" s="24">
        <f>COUNTBLANK(G2:G32)</f>
        <v>3</v>
      </c>
      <c r="S12" s="24"/>
      <c r="T12" s="25"/>
    </row>
    <row r="13" customHeight="1" spans="1:23">
      <c r="A13" s="10">
        <v>46351</v>
      </c>
      <c r="B13" s="11">
        <v>46351</v>
      </c>
      <c r="C13" s="12" t="s">
        <v>44</v>
      </c>
      <c r="D13" s="12" t="s">
        <v>19</v>
      </c>
      <c r="E13" s="12" t="s">
        <v>33</v>
      </c>
      <c r="F13" s="9" t="str">
        <f t="shared" si="0"/>
        <v>Sneakers Adidas</v>
      </c>
      <c r="G13" s="12">
        <v>90</v>
      </c>
      <c r="H13" s="12">
        <v>90</v>
      </c>
      <c r="I13" s="12">
        <v>90</v>
      </c>
      <c r="J13" s="12">
        <v>90</v>
      </c>
      <c r="K13" s="9" t="b">
        <f t="shared" si="1"/>
        <v>0</v>
      </c>
      <c r="L13" s="12">
        <v>40</v>
      </c>
      <c r="M13" s="12"/>
      <c r="N13" s="12"/>
      <c r="O13" s="6" t="str">
        <f t="shared" si="2"/>
        <v>Unknown</v>
      </c>
    </row>
    <row r="14" customHeight="1" spans="1:23">
      <c r="A14" s="7">
        <v>46364</v>
      </c>
      <c r="B14" s="8">
        <v>46364</v>
      </c>
      <c r="C14" s="9" t="s">
        <v>45</v>
      </c>
      <c r="D14" s="9" t="s">
        <v>22</v>
      </c>
      <c r="E14" s="9" t="s">
        <v>46</v>
      </c>
      <c r="F14" s="9" t="str">
        <f t="shared" si="0"/>
        <v>Coffee Maker Nespresso</v>
      </c>
      <c r="G14" s="9">
        <v>120</v>
      </c>
      <c r="H14" s="9">
        <v>120</v>
      </c>
      <c r="I14" s="9">
        <v>120</v>
      </c>
      <c r="J14" s="9">
        <v>120</v>
      </c>
      <c r="K14" s="9" t="b">
        <f t="shared" si="1"/>
        <v>0</v>
      </c>
      <c r="L14" s="9">
        <v>35</v>
      </c>
      <c r="M14" s="9"/>
      <c r="N14" s="9"/>
      <c r="O14" s="6" t="str">
        <f t="shared" si="2"/>
        <v>Unknown</v>
      </c>
    </row>
    <row r="15" customHeight="1" spans="1:23">
      <c r="A15" s="10">
        <v>46071</v>
      </c>
      <c r="B15" s="11">
        <v>46071</v>
      </c>
      <c r="C15" s="12" t="s">
        <v>47</v>
      </c>
      <c r="D15" s="12" t="s">
        <v>48</v>
      </c>
      <c r="E15" s="12" t="s">
        <v>49</v>
      </c>
      <c r="F15" s="9" t="str">
        <f t="shared" si="0"/>
        <v>Smartwatch Fitbit</v>
      </c>
      <c r="G15" s="12">
        <v>150</v>
      </c>
      <c r="H15" s="12">
        <v>150</v>
      </c>
      <c r="I15" s="12">
        <v>150</v>
      </c>
      <c r="J15" s="12">
        <v>150</v>
      </c>
      <c r="K15" s="9" t="b">
        <f t="shared" si="1"/>
        <v>0</v>
      </c>
      <c r="L15" s="12">
        <v>15</v>
      </c>
      <c r="M15" s="12" t="s">
        <v>18</v>
      </c>
      <c r="N15" s="12" t="s">
        <v>18</v>
      </c>
      <c r="O15" s="6" t="str">
        <f t="shared" si="2"/>
        <v>Electronics</v>
      </c>
    </row>
    <row r="16" customHeight="1" spans="1:23">
      <c r="A16" s="7">
        <v>46128</v>
      </c>
      <c r="B16" s="8">
        <v>46128</v>
      </c>
      <c r="C16" s="9" t="s">
        <v>50</v>
      </c>
      <c r="D16" s="9" t="s">
        <v>30</v>
      </c>
      <c r="E16" s="9" t="s">
        <v>51</v>
      </c>
      <c r="F16" s="9" t="str">
        <f t="shared" si="0"/>
        <v>Headphones Bose</v>
      </c>
      <c r="G16" s="9">
        <v>250</v>
      </c>
      <c r="H16" s="9">
        <v>250</v>
      </c>
      <c r="I16" s="9">
        <v>250</v>
      </c>
      <c r="J16" s="9">
        <v>250</v>
      </c>
      <c r="K16" s="9" t="b">
        <f t="shared" si="1"/>
        <v>0</v>
      </c>
      <c r="L16" s="9">
        <v>20</v>
      </c>
      <c r="M16" s="9" t="s">
        <v>18</v>
      </c>
      <c r="N16" s="9" t="s">
        <v>18</v>
      </c>
      <c r="O16" s="6" t="str">
        <f t="shared" si="2"/>
        <v>Electronics</v>
      </c>
    </row>
    <row r="17" customHeight="1" spans="1:15">
      <c r="A17" s="10">
        <v>46255</v>
      </c>
      <c r="B17" s="11">
        <v>46255</v>
      </c>
      <c r="C17" s="12" t="s">
        <v>47</v>
      </c>
      <c r="D17" s="12" t="s">
        <v>52</v>
      </c>
      <c r="E17" s="12" t="s">
        <v>53</v>
      </c>
      <c r="F17" s="9" t="str">
        <f t="shared" si="0"/>
        <v>Laptop Bag Samsonite</v>
      </c>
      <c r="G17" s="12">
        <v>50</v>
      </c>
      <c r="H17" s="12">
        <v>50</v>
      </c>
      <c r="I17" s="12">
        <v>50</v>
      </c>
      <c r="J17" s="12">
        <v>50</v>
      </c>
      <c r="K17" s="9" t="b">
        <f t="shared" si="1"/>
        <v>0</v>
      </c>
      <c r="L17" s="12">
        <v>35</v>
      </c>
      <c r="M17" s="12" t="s">
        <v>54</v>
      </c>
      <c r="N17" s="12" t="s">
        <v>54</v>
      </c>
      <c r="O17" s="6" t="str">
        <f t="shared" si="2"/>
        <v>Accessories</v>
      </c>
    </row>
    <row r="18" customHeight="1" spans="1:15">
      <c r="A18" s="7">
        <v>46254</v>
      </c>
      <c r="B18" s="8">
        <v>46254</v>
      </c>
      <c r="C18" s="9" t="s">
        <v>55</v>
      </c>
      <c r="D18" s="9" t="s">
        <v>48</v>
      </c>
      <c r="E18" s="9" t="s">
        <v>56</v>
      </c>
      <c r="F18" s="9" t="str">
        <f t="shared" si="0"/>
        <v>Smartwatch Huawei</v>
      </c>
      <c r="G18" s="9">
        <v>160</v>
      </c>
      <c r="H18" s="9">
        <v>160</v>
      </c>
      <c r="I18" s="9">
        <v>160</v>
      </c>
      <c r="J18" s="9">
        <v>160</v>
      </c>
      <c r="K18" s="9" t="b">
        <f t="shared" si="1"/>
        <v>0</v>
      </c>
      <c r="L18" s="9">
        <v>15</v>
      </c>
      <c r="M18" s="9" t="s">
        <v>18</v>
      </c>
      <c r="N18" s="9" t="s">
        <v>18</v>
      </c>
      <c r="O18" s="6" t="str">
        <f t="shared" si="2"/>
        <v>Electronics</v>
      </c>
    </row>
    <row r="19" customHeight="1" spans="1:15">
      <c r="A19" s="10">
        <v>46049</v>
      </c>
      <c r="B19" s="11">
        <v>46049</v>
      </c>
      <c r="C19" s="12" t="s">
        <v>57</v>
      </c>
      <c r="D19" s="12" t="s">
        <v>16</v>
      </c>
      <c r="E19" s="12" t="s">
        <v>58</v>
      </c>
      <c r="F19" s="9" t="str">
        <f t="shared" si="0"/>
        <v>Laptop Asus</v>
      </c>
      <c r="G19" s="12">
        <v>980</v>
      </c>
      <c r="H19" s="12">
        <v>980</v>
      </c>
      <c r="I19" s="12">
        <v>980</v>
      </c>
      <c r="J19" s="12">
        <v>980</v>
      </c>
      <c r="K19" s="9" t="b">
        <f t="shared" si="1"/>
        <v>0</v>
      </c>
      <c r="L19" s="12">
        <v>10</v>
      </c>
      <c r="M19" s="12" t="s">
        <v>18</v>
      </c>
      <c r="N19" s="12" t="s">
        <v>18</v>
      </c>
      <c r="O19" s="6" t="str">
        <f t="shared" si="2"/>
        <v>Electronics</v>
      </c>
    </row>
    <row r="20" customHeight="1" spans="1:15">
      <c r="A20" s="7">
        <v>46082</v>
      </c>
      <c r="B20" s="8">
        <v>46082</v>
      </c>
      <c r="C20" s="9" t="s">
        <v>29</v>
      </c>
      <c r="D20" s="9" t="s">
        <v>59</v>
      </c>
      <c r="E20" s="9" t="s">
        <v>60</v>
      </c>
      <c r="F20" s="9" t="str">
        <f t="shared" si="0"/>
        <v>Sunglasses Oakley</v>
      </c>
      <c r="G20" s="9">
        <v>150</v>
      </c>
      <c r="H20" s="9">
        <v>150</v>
      </c>
      <c r="I20" s="9">
        <v>150</v>
      </c>
      <c r="J20" s="9">
        <v>150</v>
      </c>
      <c r="K20" s="9" t="b">
        <f t="shared" si="1"/>
        <v>0</v>
      </c>
      <c r="L20" s="9">
        <v>15</v>
      </c>
      <c r="M20" s="9" t="s">
        <v>21</v>
      </c>
      <c r="N20" s="9" t="s">
        <v>21</v>
      </c>
      <c r="O20" s="6" t="str">
        <f t="shared" si="2"/>
        <v>Fashion</v>
      </c>
    </row>
    <row r="21" customHeight="1" spans="1:15">
      <c r="A21" s="10">
        <v>46248</v>
      </c>
      <c r="B21" s="11">
        <v>46248</v>
      </c>
      <c r="C21" s="12" t="s">
        <v>15</v>
      </c>
      <c r="D21" s="12" t="s">
        <v>61</v>
      </c>
      <c r="E21" s="12" t="s">
        <v>62</v>
      </c>
      <c r="F21" s="9" t="str">
        <f t="shared" si="0"/>
        <v>Camping Tent Coleman</v>
      </c>
      <c r="G21" s="12"/>
      <c r="H21" s="12"/>
      <c r="I21" s="12"/>
      <c r="J21" s="12"/>
      <c r="K21" s="9" t="b">
        <f t="shared" si="1"/>
        <v>1</v>
      </c>
      <c r="L21" s="12">
        <v>10</v>
      </c>
      <c r="M21" s="12" t="s">
        <v>41</v>
      </c>
      <c r="N21" s="12" t="s">
        <v>41</v>
      </c>
      <c r="O21" s="6" t="str">
        <f t="shared" si="2"/>
        <v>Outdoor</v>
      </c>
    </row>
    <row r="22" customHeight="1" spans="1:15">
      <c r="A22" s="7">
        <v>46156</v>
      </c>
      <c r="B22" s="8">
        <v>46156</v>
      </c>
      <c r="C22" s="9" t="s">
        <v>63</v>
      </c>
      <c r="D22" s="9" t="s">
        <v>64</v>
      </c>
      <c r="E22" s="9" t="s">
        <v>65</v>
      </c>
      <c r="F22" s="9" t="str">
        <f t="shared" si="0"/>
        <v>Camera Nikon</v>
      </c>
      <c r="G22" s="9">
        <v>700</v>
      </c>
      <c r="H22" s="9">
        <v>700</v>
      </c>
      <c r="I22" s="9">
        <v>700</v>
      </c>
      <c r="J22" s="9">
        <v>700</v>
      </c>
      <c r="K22" s="9" t="b">
        <f t="shared" si="1"/>
        <v>0</v>
      </c>
      <c r="L22" s="9">
        <v>50</v>
      </c>
      <c r="M22" s="9" t="s">
        <v>18</v>
      </c>
      <c r="N22" s="9" t="s">
        <v>18</v>
      </c>
      <c r="O22" s="6" t="str">
        <f t="shared" si="2"/>
        <v>Electronics</v>
      </c>
    </row>
    <row r="23" customHeight="1" spans="1:15">
      <c r="A23" s="10">
        <v>46031</v>
      </c>
      <c r="B23" s="11">
        <v>46031</v>
      </c>
      <c r="C23" s="12" t="s">
        <v>47</v>
      </c>
      <c r="D23" s="12" t="s">
        <v>66</v>
      </c>
      <c r="E23" s="12" t="s">
        <v>67</v>
      </c>
      <c r="F23" s="9" t="str">
        <f t="shared" si="0"/>
        <v>Microwave Panasonic</v>
      </c>
      <c r="G23" s="12">
        <v>80</v>
      </c>
      <c r="H23" s="12">
        <v>80</v>
      </c>
      <c r="I23" s="12">
        <v>80</v>
      </c>
      <c r="J23" s="12">
        <v>80</v>
      </c>
      <c r="K23" s="9" t="b">
        <f t="shared" si="1"/>
        <v>0</v>
      </c>
      <c r="L23" s="12">
        <v>20</v>
      </c>
      <c r="M23" s="12" t="s">
        <v>24</v>
      </c>
      <c r="N23" s="12" t="s">
        <v>24</v>
      </c>
      <c r="O23" s="6" t="str">
        <f t="shared" si="2"/>
        <v>Kitchen</v>
      </c>
    </row>
    <row r="24" customHeight="1" spans="1:15">
      <c r="A24" s="7">
        <v>46222</v>
      </c>
      <c r="B24" s="8">
        <v>46222</v>
      </c>
      <c r="C24" s="9" t="s">
        <v>68</v>
      </c>
      <c r="D24" s="9" t="s">
        <v>69</v>
      </c>
      <c r="E24" s="9" t="s">
        <v>70</v>
      </c>
      <c r="F24" s="9" t="str">
        <f t="shared" si="0"/>
        <v>Fitness Tracker Xiaomi</v>
      </c>
      <c r="G24" s="9">
        <v>150</v>
      </c>
      <c r="H24" s="9">
        <v>150</v>
      </c>
      <c r="I24" s="9">
        <v>150</v>
      </c>
      <c r="J24" s="9">
        <v>150</v>
      </c>
      <c r="K24" s="9" t="b">
        <f t="shared" si="1"/>
        <v>0</v>
      </c>
      <c r="L24" s="9">
        <v>30</v>
      </c>
      <c r="M24" s="9"/>
      <c r="N24" s="9"/>
      <c r="O24" s="6" t="str">
        <f t="shared" si="2"/>
        <v>Unknown</v>
      </c>
    </row>
    <row r="25" customHeight="1" spans="1:15">
      <c r="A25" s="26">
        <v>46294</v>
      </c>
      <c r="B25" s="27">
        <v>46294</v>
      </c>
      <c r="C25" s="28" t="s">
        <v>47</v>
      </c>
      <c r="D25" s="28" t="s">
        <v>25</v>
      </c>
      <c r="E25" s="28" t="s">
        <v>71</v>
      </c>
      <c r="F25" s="9" t="str">
        <f t="shared" si="0"/>
        <v>Smartphone Google</v>
      </c>
      <c r="G25" s="28">
        <v>800</v>
      </c>
      <c r="H25" s="28">
        <v>800</v>
      </c>
      <c r="I25" s="28">
        <v>800</v>
      </c>
      <c r="J25" s="28">
        <v>800</v>
      </c>
      <c r="K25" s="9" t="b">
        <f t="shared" si="1"/>
        <v>0</v>
      </c>
      <c r="L25" s="28">
        <v>45</v>
      </c>
      <c r="M25" s="28" t="s">
        <v>18</v>
      </c>
      <c r="N25" s="28" t="s">
        <v>18</v>
      </c>
      <c r="O25" s="6" t="str">
        <f t="shared" si="2"/>
        <v>Electronics</v>
      </c>
    </row>
    <row r="26" customHeight="1" spans="1:15">
      <c r="A26" s="10">
        <v>46176</v>
      </c>
      <c r="B26" s="11">
        <v>46176</v>
      </c>
      <c r="C26" s="12" t="s">
        <v>47</v>
      </c>
      <c r="D26" s="12" t="s">
        <v>59</v>
      </c>
      <c r="E26" s="12" t="s">
        <v>72</v>
      </c>
      <c r="F26" s="9" t="str">
        <f t="shared" si="0"/>
        <v>Sunglasses Ray-Ban</v>
      </c>
      <c r="G26" s="12"/>
      <c r="H26" s="12"/>
      <c r="I26" s="12"/>
      <c r="J26" s="12"/>
      <c r="K26" s="9" t="b">
        <f t="shared" si="1"/>
        <v>1</v>
      </c>
      <c r="L26" s="12">
        <v>25</v>
      </c>
      <c r="M26" s="12" t="s">
        <v>21</v>
      </c>
      <c r="N26" s="12" t="s">
        <v>21</v>
      </c>
      <c r="O26" s="6" t="str">
        <f t="shared" si="2"/>
        <v>Fashion</v>
      </c>
    </row>
    <row r="27" customHeight="1" spans="1:15">
      <c r="A27" s="26">
        <v>46214</v>
      </c>
      <c r="B27" s="27">
        <v>46214</v>
      </c>
      <c r="C27" s="28" t="s">
        <v>47</v>
      </c>
      <c r="D27" s="28" t="s">
        <v>34</v>
      </c>
      <c r="E27" s="28" t="s">
        <v>73</v>
      </c>
      <c r="F27" s="9" t="str">
        <f t="shared" si="0"/>
        <v>Blender Vitamix</v>
      </c>
      <c r="G27" s="28">
        <v>400</v>
      </c>
      <c r="H27" s="28">
        <v>400</v>
      </c>
      <c r="I27" s="28">
        <v>400</v>
      </c>
      <c r="J27" s="28">
        <v>400</v>
      </c>
      <c r="K27" s="9" t="b">
        <f t="shared" si="1"/>
        <v>0</v>
      </c>
      <c r="L27" s="28">
        <v>40</v>
      </c>
      <c r="M27" s="28" t="s">
        <v>24</v>
      </c>
      <c r="N27" s="28" t="s">
        <v>24</v>
      </c>
      <c r="O27" s="6" t="str">
        <f t="shared" si="2"/>
        <v>Kitchen</v>
      </c>
    </row>
    <row r="28" customHeight="1" spans="1:15">
      <c r="A28" s="7">
        <v>46088</v>
      </c>
      <c r="B28" s="8">
        <v>46088</v>
      </c>
      <c r="C28" s="9" t="s">
        <v>47</v>
      </c>
      <c r="D28" s="9" t="s">
        <v>74</v>
      </c>
      <c r="E28" s="9" t="s">
        <v>75</v>
      </c>
      <c r="F28" s="9" t="str">
        <f t="shared" si="0"/>
        <v>Dress Zara</v>
      </c>
      <c r="G28" s="9">
        <v>60</v>
      </c>
      <c r="H28" s="9">
        <v>60</v>
      </c>
      <c r="I28" s="9">
        <v>60</v>
      </c>
      <c r="J28" s="9">
        <v>60</v>
      </c>
      <c r="K28" s="9" t="b">
        <f t="shared" si="1"/>
        <v>0</v>
      </c>
      <c r="L28" s="9">
        <v>30</v>
      </c>
      <c r="M28" s="9" t="s">
        <v>21</v>
      </c>
      <c r="N28" s="9" t="s">
        <v>21</v>
      </c>
      <c r="O28" s="6" t="str">
        <f t="shared" si="2"/>
        <v>Fashion</v>
      </c>
    </row>
    <row r="29" customHeight="1" spans="1:15">
      <c r="A29" s="10">
        <v>46125</v>
      </c>
      <c r="B29" s="11">
        <v>46125</v>
      </c>
      <c r="C29" s="12" t="s">
        <v>47</v>
      </c>
      <c r="D29" s="12" t="s">
        <v>76</v>
      </c>
      <c r="E29" s="12" t="s">
        <v>77</v>
      </c>
      <c r="F29" s="9" t="str">
        <f t="shared" si="0"/>
        <v>Toaster Hamilton</v>
      </c>
      <c r="G29" s="12">
        <v>40</v>
      </c>
      <c r="H29" s="12">
        <v>40</v>
      </c>
      <c r="I29" s="12">
        <v>40</v>
      </c>
      <c r="J29" s="12">
        <v>40</v>
      </c>
      <c r="K29" s="9" t="b">
        <f t="shared" si="1"/>
        <v>0</v>
      </c>
      <c r="L29" s="12">
        <v>10</v>
      </c>
      <c r="M29" s="12" t="s">
        <v>24</v>
      </c>
      <c r="N29" s="12" t="s">
        <v>24</v>
      </c>
      <c r="O29" s="6" t="str">
        <f t="shared" si="2"/>
        <v>Kitchen</v>
      </c>
    </row>
    <row r="30" customHeight="1" spans="1:15">
      <c r="A30" s="7">
        <v>46166</v>
      </c>
      <c r="B30" s="8">
        <v>46166</v>
      </c>
      <c r="C30" s="9" t="s">
        <v>47</v>
      </c>
      <c r="D30" s="9" t="s">
        <v>69</v>
      </c>
      <c r="E30" s="9" t="s">
        <v>78</v>
      </c>
      <c r="F30" s="9" t="str">
        <f t="shared" si="0"/>
        <v>Fitness Tracker Garmin</v>
      </c>
      <c r="G30" s="9">
        <v>130</v>
      </c>
      <c r="H30" s="9">
        <v>130</v>
      </c>
      <c r="I30" s="9">
        <v>130</v>
      </c>
      <c r="J30" s="9">
        <v>130</v>
      </c>
      <c r="K30" s="9" t="b">
        <f t="shared" si="1"/>
        <v>0</v>
      </c>
      <c r="L30" s="9">
        <v>5</v>
      </c>
      <c r="M30" s="9" t="s">
        <v>18</v>
      </c>
      <c r="N30" s="9" t="s">
        <v>18</v>
      </c>
      <c r="O30" s="6" t="str">
        <f t="shared" si="2"/>
        <v>Electronics</v>
      </c>
    </row>
    <row r="31" customHeight="1" spans="1:15">
      <c r="A31" s="10">
        <v>46358</v>
      </c>
      <c r="B31" s="11">
        <v>46358</v>
      </c>
      <c r="C31" s="12" t="s">
        <v>47</v>
      </c>
      <c r="D31" s="12" t="s">
        <v>79</v>
      </c>
      <c r="E31" s="12" t="s">
        <v>80</v>
      </c>
      <c r="F31" s="9" t="str">
        <f t="shared" si="0"/>
        <v>Jeans Levi's</v>
      </c>
      <c r="G31" s="12">
        <v>50</v>
      </c>
      <c r="H31" s="12">
        <v>50</v>
      </c>
      <c r="I31" s="12">
        <v>50</v>
      </c>
      <c r="J31" s="12">
        <v>50</v>
      </c>
      <c r="K31" s="9" t="b">
        <f t="shared" si="1"/>
        <v>0</v>
      </c>
      <c r="L31" s="12">
        <v>50</v>
      </c>
      <c r="M31" s="12" t="s">
        <v>21</v>
      </c>
      <c r="N31" s="12" t="s">
        <v>21</v>
      </c>
      <c r="O31" s="6" t="str">
        <f t="shared" si="2"/>
        <v>Fashion</v>
      </c>
    </row>
    <row r="32" customHeight="1" spans="1:15">
      <c r="A32" s="10">
        <v>46212</v>
      </c>
      <c r="B32" s="11">
        <v>46212</v>
      </c>
      <c r="C32" s="12" t="s">
        <v>81</v>
      </c>
      <c r="D32" s="12" t="s">
        <v>82</v>
      </c>
      <c r="E32" s="12" t="s">
        <v>83</v>
      </c>
      <c r="F32" s="9" t="str">
        <f t="shared" si="0"/>
        <v>Watch Casio</v>
      </c>
      <c r="G32" s="12">
        <v>100</v>
      </c>
      <c r="H32" s="12">
        <v>100</v>
      </c>
      <c r="I32" s="12">
        <v>100</v>
      </c>
      <c r="J32" s="12">
        <v>100</v>
      </c>
      <c r="K32" s="9" t="b">
        <f t="shared" si="1"/>
        <v>0</v>
      </c>
      <c r="L32" s="12">
        <v>20</v>
      </c>
      <c r="M32" s="12" t="s">
        <v>54</v>
      </c>
      <c r="N32" s="12" t="s">
        <v>54</v>
      </c>
      <c r="O32" s="6" t="str">
        <f t="shared" si="2"/>
        <v>Accessories</v>
      </c>
    </row>
    <row r="33" customHeight="1" spans="1:14">
      <c r="A33" s="29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customHeight="1" spans="1:14">
      <c r="A34" s="29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customHeight="1" spans="1:14">
      <c r="A35" s="29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</sheetData>
  <conditionalFormatting sqref="H2:H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{f633a4be-eed1-4b68-a435-937feb9e4612}</x14:id>
        </ext>
      </extLst>
    </cfRule>
  </conditionalFormatting>
  <conditionalFormatting sqref="I2:I3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32">
    <cfRule type="cellIs" dxfId="0" priority="4" operator="greaterThan">
      <formula>0</formula>
    </cfRule>
  </conditionalFormatting>
  <conditionalFormatting sqref="N2:N32">
    <cfRule type="cellIs" dxfId="1" priority="1" operator="equal">
      <formula>"Electronics"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33a4be-eed1-4b68-a435-937feb9e4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" sqref="B4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Anitha Malayappan</cp:lastModifiedBy>
  <dcterms:created xsi:type="dcterms:W3CDTF">2026-06-13T13:53:00Z</dcterms:created>
  <dcterms:modified xsi:type="dcterms:W3CDTF">2026-06-14T06:16:41Z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806724BF9EE74BBA8C19BC2EC22E0439_13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